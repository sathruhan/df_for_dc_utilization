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256" documentId="13_ncr:1_{8F890AB6-53F2-461F-985D-F5F3C7B8F20B}" xr6:coauthVersionLast="47" xr6:coauthVersionMax="47" xr10:uidLastSave="{DBD51E33-5AAD-4354-BEBC-AA09C643BA0B}"/>
  <bookViews>
    <workbookView xWindow="-120" yWindow="-120" windowWidth="29040" windowHeight="15720" xr2:uid="{00000000-000D-0000-FFFF-FFFF00000000}"/>
  </bookViews>
  <sheets>
    <sheet name="Ope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" l="1"/>
  <c r="P30" i="1"/>
  <c r="C3" i="1"/>
  <c r="F3" i="1" l="1"/>
  <c r="P29" i="1"/>
  <c r="P28" i="1"/>
  <c r="P18" i="1"/>
  <c r="P19" i="1"/>
  <c r="P20" i="1"/>
  <c r="P21" i="1"/>
  <c r="P22" i="1"/>
  <c r="P23" i="1"/>
  <c r="P24" i="1"/>
  <c r="P25" i="1"/>
  <c r="P26" i="1"/>
  <c r="P27" i="1"/>
  <c r="P17" i="1"/>
  <c r="P11" i="1"/>
  <c r="P10" i="1"/>
  <c r="P9" i="1"/>
  <c r="P8" i="1"/>
  <c r="P14" i="1"/>
  <c r="P13" i="1"/>
  <c r="P12" i="1"/>
  <c r="E3" i="1" l="1"/>
  <c r="G3" i="1"/>
  <c r="P6" i="1" l="1"/>
  <c r="P4" i="1"/>
  <c r="P7" i="1"/>
  <c r="P5" i="1"/>
</calcChain>
</file>

<file path=xl/sharedStrings.xml><?xml version="1.0" encoding="utf-8"?>
<sst xmlns="http://schemas.openxmlformats.org/spreadsheetml/2006/main" count="35" uniqueCount="35">
  <si>
    <t>Client level inventory summary report EGDC</t>
  </si>
  <si>
    <t>Client level inventory summary report ESKD</t>
  </si>
  <si>
    <t>Client level inventory summary report LPPL</t>
  </si>
  <si>
    <t>Client level inventory summary report NUGE</t>
  </si>
  <si>
    <t>Client wise stock ageing report EGDC</t>
  </si>
  <si>
    <t>Client wise stock ageing report ESKD</t>
  </si>
  <si>
    <t>Client wise stock ageing report LPPL</t>
  </si>
  <si>
    <t>Client wise stock ageing report NUGE</t>
  </si>
  <si>
    <t>Inventory report ARS</t>
  </si>
  <si>
    <t>Inventory report HMS</t>
  </si>
  <si>
    <t>Inventory report DRDNS</t>
  </si>
  <si>
    <t xml:space="preserve">Date : </t>
  </si>
  <si>
    <t>Client level inventory summary report</t>
  </si>
  <si>
    <t>Inventory Report</t>
  </si>
  <si>
    <t>Client - wise stock ageing report</t>
  </si>
  <si>
    <t>Tuesday Only</t>
  </si>
  <si>
    <t>Path</t>
  </si>
  <si>
    <t>User_Name:</t>
  </si>
  <si>
    <t>Client_Level_Inventory_Summary_Report-EGDC</t>
  </si>
  <si>
    <t>Client_Level_Inventory_Summary_Report-ESKD</t>
  </si>
  <si>
    <t>Client_Level_Inventory_Summary_Report-LPPL</t>
  </si>
  <si>
    <t>Client_Level_Inventory_Summary_Report-NUGE</t>
  </si>
  <si>
    <t>Client_Wise_Stock_Ageing_Report-EGDC</t>
  </si>
  <si>
    <t>Client_Wise_Stock_Ageing_Report-ESKD</t>
  </si>
  <si>
    <t>Client_Wise_Stock_Ageing_Report-LPPL</t>
  </si>
  <si>
    <t>Client_Wise_Stock_Ageing_Report-NUGE</t>
  </si>
  <si>
    <t>Inventory_Report-ARS</t>
  </si>
  <si>
    <t>Inventory_Report-Durdans</t>
  </si>
  <si>
    <t>Inventory_Report-HMS</t>
  </si>
  <si>
    <t>\OneDrive - Expolanka International (Pvt) Limited\General\Team members Docs\Sathruhan\Reports- WH utilization</t>
  </si>
  <si>
    <t>Data Base- Final</t>
  </si>
  <si>
    <t>Inventory_Report</t>
  </si>
  <si>
    <t>Sathruhans</t>
  </si>
  <si>
    <t>Inventory_Report-SOFT</t>
  </si>
  <si>
    <t>Inventory report SOFT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</si>
</sst>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color indexed="8"/>
      <name val="MS Sans Serif"/>
      <family val="2"/>
    </font>
    <font>
      <u/>
      <sz val="11"/>
      <color theme="1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0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4" borderId="0" applyNumberFormat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" fillId="0" borderId="0"/>
    <xf numFmtId="0" fontId="20" fillId="0" borderId="0"/>
    <xf numFmtId="0" fontId="21" fillId="0" borderId="0" applyNumberFormat="0" applyFill="0" applyBorder="0" applyAlignment="0" applyProtection="0"/>
  </cellStyleXfs>
  <cellXfs count="28">
    <xf numFmtId="0" fontId="0" fillId="0" borderId="0" xfId="0"/>
    <xf numFmtId="0" fontId="16" fillId="0" borderId="0" xfId="0" applyFont="1"/>
    <xf numFmtId="0" fontId="21" fillId="0" borderId="0" xfId="49"/>
    <xf numFmtId="14" fontId="0" fillId="33" borderId="0" xfId="0" applyNumberFormat="1" applyFill="1"/>
    <xf numFmtId="0" fontId="0" fillId="34" borderId="12" xfId="0" applyFill="1" applyBorder="1"/>
    <xf numFmtId="0" fontId="0" fillId="34" borderId="13" xfId="0" applyFill="1" applyBorder="1"/>
    <xf numFmtId="0" fontId="0" fillId="34" borderId="0" xfId="0" applyFill="1"/>
    <xf numFmtId="0" fontId="0" fillId="34" borderId="15" xfId="0" applyFill="1" applyBorder="1"/>
    <xf numFmtId="0" fontId="0" fillId="34" borderId="17" xfId="0" applyFill="1" applyBorder="1"/>
    <xf numFmtId="0" fontId="0" fillId="34" borderId="18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0" xfId="0" applyFill="1"/>
    <xf numFmtId="0" fontId="0" fillId="35" borderId="15" xfId="0" applyFill="1" applyBorder="1"/>
    <xf numFmtId="0" fontId="0" fillId="35" borderId="17" xfId="0" applyFill="1" applyBorder="1"/>
    <xf numFmtId="0" fontId="0" fillId="35" borderId="18" xfId="0" applyFill="1" applyBorder="1"/>
    <xf numFmtId="0" fontId="16" fillId="36" borderId="10" xfId="0" applyFont="1" applyFill="1" applyBorder="1"/>
    <xf numFmtId="0" fontId="17" fillId="0" borderId="0" xfId="0" applyFont="1"/>
    <xf numFmtId="0" fontId="14" fillId="0" borderId="0" xfId="0" applyFont="1"/>
    <xf numFmtId="0" fontId="16" fillId="34" borderId="12" xfId="0" applyFont="1" applyFill="1" applyBorder="1" applyAlignment="1">
      <alignment horizontal="center" vertical="center" textRotation="90" wrapText="1"/>
    </xf>
    <xf numFmtId="0" fontId="16" fillId="34" borderId="0" xfId="0" applyFont="1" applyFill="1" applyAlignment="1">
      <alignment horizontal="center" vertical="center" textRotation="90" wrapText="1"/>
    </xf>
    <xf numFmtId="0" fontId="16" fillId="34" borderId="17" xfId="0" applyFont="1" applyFill="1" applyBorder="1" applyAlignment="1">
      <alignment horizontal="center" vertical="center" textRotation="90" wrapText="1"/>
    </xf>
    <xf numFmtId="0" fontId="16" fillId="34" borderId="11" xfId="0" applyFont="1" applyFill="1" applyBorder="1" applyAlignment="1">
      <alignment horizontal="center" vertical="center" textRotation="90" wrapText="1"/>
    </xf>
    <xf numFmtId="0" fontId="16" fillId="34" borderId="14" xfId="0" applyFont="1" applyFill="1" applyBorder="1" applyAlignment="1">
      <alignment horizontal="center" vertical="center" textRotation="90" wrapText="1"/>
    </xf>
    <xf numFmtId="0" fontId="16" fillId="34" borderId="16" xfId="0" applyFont="1" applyFill="1" applyBorder="1" applyAlignment="1">
      <alignment horizontal="center" vertical="center" textRotation="90" wrapText="1"/>
    </xf>
    <xf numFmtId="0" fontId="16" fillId="35" borderId="11" xfId="0" applyFont="1" applyFill="1" applyBorder="1" applyAlignment="1">
      <alignment horizontal="center" vertical="center" textRotation="90" wrapText="1"/>
    </xf>
    <xf numFmtId="0" fontId="16" fillId="35" borderId="14" xfId="0" applyFont="1" applyFill="1" applyBorder="1" applyAlignment="1">
      <alignment horizontal="center" vertical="center" textRotation="90" wrapText="1"/>
    </xf>
    <xf numFmtId="0" fontId="16" fillId="35" borderId="16" xfId="0" applyFont="1" applyFill="1" applyBorder="1" applyAlignment="1">
      <alignment horizontal="center" vertical="center" textRotation="90" wrapText="1"/>
    </xf>
  </cellXfs>
  <cellStyles count="50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A05033D3-A4CF-40FA-9DA7-FCA4843FD290}"/>
    <cellStyle name="60% - Accent2 2" xfId="37" xr:uid="{FF2BD302-95D1-40F3-B0AC-84BB1E0E7089}"/>
    <cellStyle name="60% - Accent3 2" xfId="38" xr:uid="{66079581-779A-4F27-A389-2F07D109B810}"/>
    <cellStyle name="60% - Accent4 2" xfId="39" xr:uid="{DA56D099-8423-4D60-A7D0-CD053B85E17C}"/>
    <cellStyle name="60% - Accent5 2" xfId="40" xr:uid="{19F64B8D-5629-45C8-B0C8-106C6ED6A727}"/>
    <cellStyle name="60% - Accent6 2" xfId="41" xr:uid="{8553FCC3-9221-4888-8C7C-38568CE63F5E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9" builtinId="8"/>
    <cellStyle name="Input" xfId="8" builtinId="20" customBuiltin="1"/>
    <cellStyle name="Linked Cell" xfId="11" builtinId="24" customBuiltin="1"/>
    <cellStyle name="Neutral 2" xfId="35" xr:uid="{9D27C411-2329-437F-91FE-FB4CD41CFDA1}"/>
    <cellStyle name="Normal" xfId="0" builtinId="0"/>
    <cellStyle name="Normal 2" xfId="42" xr:uid="{3D162238-DF6C-4FBF-9348-BFF5342BB049}"/>
    <cellStyle name="Normal 3" xfId="43" xr:uid="{6A268764-B7EB-46BE-B368-E7D92421E975}"/>
    <cellStyle name="Normal 3 2" xfId="45" xr:uid="{1A663124-EA09-464E-8901-44F6479334F0}"/>
    <cellStyle name="Normal 3 3" xfId="48" xr:uid="{3628378B-9620-4DEC-93C6-7EC739C2F382}"/>
    <cellStyle name="Normal 4" xfId="44" xr:uid="{109227AA-8594-4329-B86C-47C8A5C9D0E8}"/>
    <cellStyle name="Normal 4 2" xfId="46" xr:uid="{28778955-4614-4569-A43D-21F0A19928A0}"/>
    <cellStyle name="Normal 4 3" xfId="47" xr:uid="{EDCA9292-8965-4B2E-A177-95BFC812D12E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1" defaultTableStyle="TableStyleMedium2" defaultPivotStyle="PivotStyleMedium9">
    <tableStyle name="Invisible" pivot="0" table="0" count="0" xr9:uid="{C6F7BB30-D469-4B40-88AF-A1ACE5D0559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15</xdr:row>
          <xdr:rowOff>9525</xdr:rowOff>
        </xdr:from>
        <xdr:to>
          <xdr:col>4</xdr:col>
          <xdr:colOff>552450</xdr:colOff>
          <xdr:row>17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the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12</xdr:row>
          <xdr:rowOff>19050</xdr:rowOff>
        </xdr:from>
        <xdr:to>
          <xdr:col>4</xdr:col>
          <xdr:colOff>590550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10</xdr:row>
          <xdr:rowOff>9525</xdr:rowOff>
        </xdr:from>
        <xdr:to>
          <xdr:col>5</xdr:col>
          <xdr:colOff>9525</xdr:colOff>
          <xdr:row>11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LPPL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8</xdr:row>
          <xdr:rowOff>19050</xdr:rowOff>
        </xdr:from>
        <xdr:to>
          <xdr:col>4</xdr:col>
          <xdr:colOff>600075</xdr:colOff>
          <xdr:row>9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ESKD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171450</xdr:rowOff>
        </xdr:from>
        <xdr:to>
          <xdr:col>4</xdr:col>
          <xdr:colOff>600075</xdr:colOff>
          <xdr:row>6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EGDC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6</xdr:row>
          <xdr:rowOff>9525</xdr:rowOff>
        </xdr:from>
        <xdr:to>
          <xdr:col>8</xdr:col>
          <xdr:colOff>0</xdr:colOff>
          <xdr:row>6</xdr:row>
          <xdr:rowOff>171450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8</xdr:row>
          <xdr:rowOff>0</xdr:rowOff>
        </xdr:from>
        <xdr:to>
          <xdr:col>8</xdr:col>
          <xdr:colOff>0</xdr:colOff>
          <xdr:row>9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DRDNS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9525</xdr:rowOff>
        </xdr:from>
        <xdr:to>
          <xdr:col>8</xdr:col>
          <xdr:colOff>0</xdr:colOff>
          <xdr:row>11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6</xdr:row>
          <xdr:rowOff>0</xdr:rowOff>
        </xdr:from>
        <xdr:to>
          <xdr:col>10</xdr:col>
          <xdr:colOff>590550</xdr:colOff>
          <xdr:row>6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EGDC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171450</xdr:rowOff>
        </xdr:from>
        <xdr:to>
          <xdr:col>10</xdr:col>
          <xdr:colOff>600075</xdr:colOff>
          <xdr:row>8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ESKD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10</xdr:row>
          <xdr:rowOff>19050</xdr:rowOff>
        </xdr:from>
        <xdr:to>
          <xdr:col>10</xdr:col>
          <xdr:colOff>590550</xdr:colOff>
          <xdr:row>10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LPPL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12</xdr:row>
          <xdr:rowOff>9525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12</xdr:row>
          <xdr:rowOff>0</xdr:rowOff>
        </xdr:from>
        <xdr:to>
          <xdr:col>7</xdr:col>
          <xdr:colOff>600075</xdr:colOff>
          <xdr:row>13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http://hjprod.itx360.com/SupplyChainAdvantage/WAAdvantageDashboard/GenReport.aspx?id=2476&amp;wh_id=LPPL&amp;client_code=SOFT&amp;status=H&amp;plant=%25&amp;invtype=%25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30"/>
  <sheetViews>
    <sheetView tabSelected="1" workbookViewId="0">
      <selection activeCell="K20" sqref="K20"/>
    </sheetView>
  </sheetViews>
  <sheetFormatPr defaultRowHeight="15" x14ac:dyDescent="0.25"/>
  <cols>
    <col min="2" max="2" width="11.28515625" bestFit="1" customWidth="1"/>
    <col min="3" max="3" width="9.5703125" bestFit="1" customWidth="1"/>
    <col min="9" max="9" width="12.85546875" customWidth="1"/>
    <col min="10" max="10" width="8.5703125" customWidth="1"/>
    <col min="13" max="13" width="15.28515625" customWidth="1"/>
    <col min="14" max="14" width="3" bestFit="1" customWidth="1"/>
    <col min="15" max="15" width="44.7109375" hidden="1" customWidth="1"/>
    <col min="16" max="16" width="170.140625" hidden="1" customWidth="1"/>
    <col min="17" max="17" width="8.85546875" customWidth="1"/>
  </cols>
  <sheetData>
    <row r="2" spans="2:19" x14ac:dyDescent="0.25">
      <c r="B2" s="1" t="s">
        <v>17</v>
      </c>
      <c r="C2" t="s">
        <v>32</v>
      </c>
      <c r="M2" s="18"/>
      <c r="N2" s="18"/>
      <c r="O2" s="18"/>
      <c r="P2" s="18"/>
      <c r="Q2" s="18"/>
      <c r="R2" s="18"/>
      <c r="S2" s="18"/>
    </row>
    <row r="3" spans="2:19" x14ac:dyDescent="0.25">
      <c r="B3" s="1" t="s">
        <v>11</v>
      </c>
      <c r="C3" s="3">
        <f ca="1">TODAY()</f>
        <v>45112</v>
      </c>
      <c r="D3" s="17"/>
      <c r="E3" s="17" t="str">
        <f ca="1">TEXT(C3,"dd")</f>
        <v>05</v>
      </c>
      <c r="F3" s="17" t="str">
        <f ca="1">TEXT(C3,"mm")</f>
        <v>07</v>
      </c>
      <c r="G3" s="17" t="str">
        <f ca="1">TEXT(C3,"yyyy")</f>
        <v>2023</v>
      </c>
      <c r="M3" s="18"/>
      <c r="N3" s="18"/>
      <c r="O3" s="18"/>
      <c r="P3" s="18"/>
      <c r="Q3" s="18"/>
      <c r="R3" s="18"/>
      <c r="S3" s="18"/>
    </row>
    <row r="4" spans="2:19" ht="15.75" thickBot="1" x14ac:dyDescent="0.3">
      <c r="M4" s="18"/>
      <c r="N4" s="18"/>
      <c r="O4" s="18" t="s">
        <v>0</v>
      </c>
      <c r="P4" s="18" t="str">
        <f ca="1">CONCATENATE("http://hjprod.itx360.com/SupplyChainAdvantage/WAAdvantageDashboard/GenReport.aspx?id=2045&amp;wh_id=EGDC&amp;start_date=",$E$3,"%2f",$F$3,"%2f",$G$3)</f>
        <v>http://hjprod.itx360.com/SupplyChainAdvantage/WAAdvantageDashboard/GenReport.aspx?id=2045&amp;wh_id=EGDC&amp;start_date=05%2f07%2f2023</v>
      </c>
      <c r="Q4" s="18"/>
      <c r="R4" s="18"/>
      <c r="S4" s="18"/>
    </row>
    <row r="5" spans="2:19" ht="15.75" thickBot="1" x14ac:dyDescent="0.3">
      <c r="I5" s="16" t="s">
        <v>15</v>
      </c>
      <c r="M5" s="18"/>
      <c r="N5" s="18"/>
      <c r="O5" s="18" t="s">
        <v>1</v>
      </c>
      <c r="P5" s="18" t="str">
        <f ca="1">CONCATENATE("http://hjprod.itx360.com/SupplyChainAdvantage/WAAdvantageDashboard/GenReport.aspx?id=2045&amp;wh_id=ESKD&amp;start_date=",$E$3,"%2f",$F$3,"%2f",$G$3)</f>
        <v>http://hjprod.itx360.com/SupplyChainAdvantage/WAAdvantageDashboard/GenReport.aspx?id=2045&amp;wh_id=ESKD&amp;start_date=05%2f07%2f2023</v>
      </c>
      <c r="Q5" s="18"/>
      <c r="R5" s="18"/>
      <c r="S5" s="18"/>
    </row>
    <row r="6" spans="2:19" ht="14.45" customHeight="1" x14ac:dyDescent="0.25">
      <c r="C6" s="22" t="s">
        <v>12</v>
      </c>
      <c r="D6" s="4"/>
      <c r="E6" s="4"/>
      <c r="F6" s="19" t="s">
        <v>13</v>
      </c>
      <c r="G6" s="4"/>
      <c r="H6" s="5"/>
      <c r="I6" s="25" t="s">
        <v>14</v>
      </c>
      <c r="J6" s="10"/>
      <c r="K6" s="11"/>
      <c r="M6" s="18"/>
      <c r="N6" s="18"/>
      <c r="O6" s="18" t="s">
        <v>2</v>
      </c>
      <c r="P6" s="18" t="str">
        <f ca="1">CONCATENATE("http://hjprod.itx360.com/SupplyChainAdvantage/WAAdvantageDashboard/GenReport.aspx?id=2045&amp;wh_id=LPPL&amp;start_date=",$E$3,"%2f",$F$3,"%2f",$G$3)</f>
        <v>http://hjprod.itx360.com/SupplyChainAdvantage/WAAdvantageDashboard/GenReport.aspx?id=2045&amp;wh_id=LPPL&amp;start_date=05%2f07%2f2023</v>
      </c>
      <c r="Q6" s="18"/>
      <c r="R6" s="18"/>
      <c r="S6" s="18"/>
    </row>
    <row r="7" spans="2:19" x14ac:dyDescent="0.25">
      <c r="C7" s="23"/>
      <c r="D7" s="6"/>
      <c r="E7" s="6"/>
      <c r="F7" s="20"/>
      <c r="G7" s="6"/>
      <c r="H7" s="7"/>
      <c r="I7" s="26"/>
      <c r="J7" s="12"/>
      <c r="K7" s="13"/>
      <c r="M7" s="18"/>
      <c r="N7" s="18"/>
      <c r="O7" s="18" t="s">
        <v>3</v>
      </c>
      <c r="P7" s="18" t="str">
        <f ca="1">CONCATENATE("http://hjprod.itx360.com/SupplyChainAdvantage/WAAdvantageDashboard/GenReport.aspx?id=2045&amp;wh_id=NUGE&amp;start_date=",$E$3,"%2f",$F$3,"%2f",$G$3)</f>
        <v>http://hjprod.itx360.com/SupplyChainAdvantage/WAAdvantageDashboard/GenReport.aspx?id=2045&amp;wh_id=NUGE&amp;start_date=05%2f07%2f2023</v>
      </c>
      <c r="Q7" s="18"/>
      <c r="R7" s="18"/>
      <c r="S7" s="18"/>
    </row>
    <row r="8" spans="2:19" x14ac:dyDescent="0.25">
      <c r="C8" s="23"/>
      <c r="D8" s="6"/>
      <c r="E8" s="6"/>
      <c r="F8" s="20"/>
      <c r="G8" s="6"/>
      <c r="H8" s="7"/>
      <c r="I8" s="26"/>
      <c r="J8" s="12"/>
      <c r="K8" s="13"/>
      <c r="M8" s="18"/>
      <c r="N8" s="18"/>
      <c r="O8" s="18" t="s">
        <v>4</v>
      </c>
      <c r="P8" s="18" t="str">
        <f>CONCATENATE("http://hjprod.itx360.com/SupplyChainAdvantage/WAAdvantageDashboard/GenReport.aspx?id=2237&amp;wh_id=EGDC")</f>
        <v>http://hjprod.itx360.com/SupplyChainAdvantage/WAAdvantageDashboard/GenReport.aspx?id=2237&amp;wh_id=EGDC</v>
      </c>
      <c r="Q8" s="18"/>
      <c r="R8" s="18"/>
      <c r="S8" s="18"/>
    </row>
    <row r="9" spans="2:19" x14ac:dyDescent="0.25">
      <c r="C9" s="23"/>
      <c r="D9" s="6"/>
      <c r="E9" s="6"/>
      <c r="F9" s="20"/>
      <c r="G9" s="6"/>
      <c r="H9" s="7"/>
      <c r="I9" s="26"/>
      <c r="J9" s="12"/>
      <c r="K9" s="13"/>
      <c r="M9" s="18"/>
      <c r="N9" s="18"/>
      <c r="O9" s="18" t="s">
        <v>5</v>
      </c>
      <c r="P9" s="18" t="str">
        <f>CONCATENATE("http://hjprod.itx360.com/SupplyChainAdvantage/WAAdvantageDashboard/GenReport.aspx?id=2237&amp;wh_id=ESKD")</f>
        <v>http://hjprod.itx360.com/SupplyChainAdvantage/WAAdvantageDashboard/GenReport.aspx?id=2237&amp;wh_id=ESKD</v>
      </c>
      <c r="Q9" s="18"/>
      <c r="R9" s="18"/>
      <c r="S9" s="18"/>
    </row>
    <row r="10" spans="2:19" x14ac:dyDescent="0.25">
      <c r="C10" s="23"/>
      <c r="D10" s="6"/>
      <c r="E10" s="6"/>
      <c r="F10" s="20"/>
      <c r="G10" s="6"/>
      <c r="H10" s="7"/>
      <c r="I10" s="26"/>
      <c r="J10" s="12"/>
      <c r="K10" s="13"/>
      <c r="M10" s="18"/>
      <c r="N10" s="18"/>
      <c r="O10" s="18" t="s">
        <v>6</v>
      </c>
      <c r="P10" s="18" t="str">
        <f>CONCATENATE("http://hjprod.itx360.com/SupplyChainAdvantage/WAAdvantageDashboard/GenReport.aspx?id=2237&amp;wh_id=LPPL")</f>
        <v>http://hjprod.itx360.com/SupplyChainAdvantage/WAAdvantageDashboard/GenReport.aspx?id=2237&amp;wh_id=LPPL</v>
      </c>
      <c r="Q10" s="18"/>
      <c r="R10" s="18"/>
      <c r="S10" s="18"/>
    </row>
    <row r="11" spans="2:19" x14ac:dyDescent="0.25">
      <c r="C11" s="23"/>
      <c r="D11" s="6"/>
      <c r="E11" s="6"/>
      <c r="F11" s="20"/>
      <c r="G11" s="6"/>
      <c r="H11" s="7"/>
      <c r="I11" s="26"/>
      <c r="J11" s="12"/>
      <c r="K11" s="13"/>
      <c r="M11" s="18"/>
      <c r="N11" s="18"/>
      <c r="O11" s="18" t="s">
        <v>7</v>
      </c>
      <c r="P11" s="18" t="str">
        <f>CONCATENATE("http://hjprod.itx360.com/SupplyChainAdvantage/WAAdvantageDashboard/GenReport.aspx?id=2237&amp;wh_id=NUGE")</f>
        <v>http://hjprod.itx360.com/SupplyChainAdvantage/WAAdvantageDashboard/GenReport.aspx?id=2237&amp;wh_id=NUGE</v>
      </c>
      <c r="Q11" s="18"/>
      <c r="R11" s="18"/>
      <c r="S11" s="18"/>
    </row>
    <row r="12" spans="2:19" x14ac:dyDescent="0.25">
      <c r="C12" s="23"/>
      <c r="D12" s="6"/>
      <c r="E12" s="6"/>
      <c r="F12" s="20"/>
      <c r="G12" s="6"/>
      <c r="H12" s="7"/>
      <c r="I12" s="26"/>
      <c r="J12" s="12"/>
      <c r="K12" s="13"/>
      <c r="M12" s="18"/>
      <c r="N12" s="18"/>
      <c r="O12" s="18" t="s">
        <v>8</v>
      </c>
      <c r="P12" s="18" t="str">
        <f>CONCATENATE("http://hjprod.itx360.com/SupplyChainAdvantage/WAAdvantageDashboard/GenReport.aspx?id=2476&amp;wh_id=LPPL&amp;client_code=ARS&amp;status=A&amp;plant=%25&amp;invtype=%25")</f>
        <v>http://hjprod.itx360.com/SupplyChainAdvantage/WAAdvantageDashboard/GenReport.aspx?id=2476&amp;wh_id=LPPL&amp;client_code=ARS&amp;status=A&amp;plant=%25&amp;invtype=%25</v>
      </c>
      <c r="Q12" s="18"/>
      <c r="R12" s="18"/>
      <c r="S12" s="18"/>
    </row>
    <row r="13" spans="2:19" x14ac:dyDescent="0.25">
      <c r="C13" s="23"/>
      <c r="D13" s="6"/>
      <c r="E13" s="6"/>
      <c r="F13" s="20"/>
      <c r="G13" s="6"/>
      <c r="H13" s="7"/>
      <c r="I13" s="26"/>
      <c r="J13" s="12"/>
      <c r="K13" s="13"/>
      <c r="M13" s="18"/>
      <c r="N13" s="18"/>
      <c r="O13" s="18" t="s">
        <v>10</v>
      </c>
      <c r="P13" s="18" t="str">
        <f>CONCATENATE("http://hjprod.itx360.com/SupplyChainAdvantage/WAAdvantageDashboard/GenReport.aspx?id=2476&amp;wh_id=LPPL&amp;client_code=DRDNS&amp;status=A&amp;plant=%25&amp;invtype=%25")</f>
        <v>http://hjprod.itx360.com/SupplyChainAdvantage/WAAdvantageDashboard/GenReport.aspx?id=2476&amp;wh_id=LPPL&amp;client_code=DRDNS&amp;status=A&amp;plant=%25&amp;invtype=%25</v>
      </c>
      <c r="Q13" s="18"/>
      <c r="R13" s="18"/>
      <c r="S13" s="18"/>
    </row>
    <row r="14" spans="2:19" ht="15.75" thickBot="1" x14ac:dyDescent="0.3">
      <c r="C14" s="24"/>
      <c r="D14" s="8"/>
      <c r="E14" s="8"/>
      <c r="F14" s="21"/>
      <c r="G14" s="8"/>
      <c r="H14" s="9"/>
      <c r="I14" s="27"/>
      <c r="J14" s="14"/>
      <c r="K14" s="15"/>
      <c r="M14" s="18"/>
      <c r="N14" s="18"/>
      <c r="O14" s="18" t="s">
        <v>9</v>
      </c>
      <c r="P14" s="18" t="str">
        <f>CONCATENATE("http://hjprod.itx360.com/SupplyChainAdvantage/WAAdvantageDashboard/GenReport.aspx?id=2476&amp;wh_id=LPPL&amp;client_code=HMS&amp;status=A&amp;plant=%25&amp;invtype=%25")</f>
        <v>http://hjprod.itx360.com/SupplyChainAdvantage/WAAdvantageDashboard/GenReport.aspx?id=2476&amp;wh_id=LPPL&amp;client_code=HMS&amp;status=A&amp;plant=%25&amp;invtype=%25</v>
      </c>
      <c r="Q14" s="18"/>
      <c r="R14" s="18"/>
      <c r="S14" s="18"/>
    </row>
    <row r="15" spans="2:19" x14ac:dyDescent="0.25">
      <c r="M15" s="18"/>
      <c r="N15" s="18"/>
      <c r="O15" s="18" t="s">
        <v>34</v>
      </c>
      <c r="P15" s="2" t="str">
        <f>CONCATENATE("http://hjprod.itx360.com/SupplyChainAdvantage/WAAdvantageDashboard/GenReport.aspx?id=2476&amp;wh_id=LPPL&amp;client_code=SOFT&amp;status=H&amp;plant=%25&amp;invtype=%25")</f>
        <v>http://hjprod.itx360.com/SupplyChainAdvantage/WAAdvantageDashboard/GenReport.aspx?id=2476&amp;wh_id=LPPL&amp;client_code=SOFT&amp;status=H&amp;plant=%25&amp;invtype=%25</v>
      </c>
      <c r="Q15" s="18"/>
      <c r="R15" s="18"/>
      <c r="S15" s="18"/>
    </row>
    <row r="16" spans="2:19" x14ac:dyDescent="0.25">
      <c r="M16" s="18"/>
      <c r="N16" s="18"/>
      <c r="O16" s="18" t="s">
        <v>16</v>
      </c>
      <c r="P16" s="18" t="s">
        <v>29</v>
      </c>
      <c r="Q16" s="18"/>
      <c r="R16" s="18"/>
      <c r="S16" s="18"/>
    </row>
    <row r="17" spans="11:19" x14ac:dyDescent="0.25">
      <c r="M17" s="18"/>
      <c r="N17" s="18">
        <v>1</v>
      </c>
      <c r="O17" s="18" t="s">
        <v>18</v>
      </c>
      <c r="P17" s="18" t="str">
        <f>CONCATENATE("D:\Users\",$C$2,$P$16,"\",O17)</f>
        <v>D:\Users\Sathruhans\OneDrive - Expolanka International (Pvt) Limited\General\Team members Docs\Sathruhan\Reports- WH utilization\Client_Level_Inventory_Summary_Report-EGDC</v>
      </c>
      <c r="Q17" s="18"/>
      <c r="R17" s="18"/>
      <c r="S17" s="18"/>
    </row>
    <row r="18" spans="11:19" x14ac:dyDescent="0.25">
      <c r="M18" s="18"/>
      <c r="N18" s="18">
        <v>2</v>
      </c>
      <c r="O18" s="18" t="s">
        <v>19</v>
      </c>
      <c r="P18" s="18" t="str">
        <f t="shared" ref="P18:P30" si="0">CONCATENATE("D:\Users\",$C$2,$P$16,"\",O18)</f>
        <v>D:\Users\Sathruhans\OneDrive - Expolanka International (Pvt) Limited\General\Team members Docs\Sathruhan\Reports- WH utilization\Client_Level_Inventory_Summary_Report-ESKD</v>
      </c>
      <c r="Q18" s="18"/>
      <c r="R18" s="18"/>
      <c r="S18" s="18"/>
    </row>
    <row r="19" spans="11:19" x14ac:dyDescent="0.25">
      <c r="M19" s="18"/>
      <c r="N19" s="18">
        <v>3</v>
      </c>
      <c r="O19" s="18" t="s">
        <v>20</v>
      </c>
      <c r="P19" s="18" t="str">
        <f t="shared" si="0"/>
        <v>D:\Users\Sathruhans\OneDrive - Expolanka International (Pvt) Limited\General\Team members Docs\Sathruhan\Reports- WH utilization\Client_Level_Inventory_Summary_Report-LPPL</v>
      </c>
      <c r="Q19" s="18"/>
      <c r="R19" s="18"/>
      <c r="S19" s="18"/>
    </row>
    <row r="20" spans="11:19" x14ac:dyDescent="0.25">
      <c r="K20" s="2"/>
      <c r="N20" s="18">
        <v>4</v>
      </c>
      <c r="O20" s="18" t="s">
        <v>21</v>
      </c>
      <c r="P20" s="18" t="str">
        <f t="shared" si="0"/>
        <v>D:\Users\Sathruhans\OneDrive - Expolanka International (Pvt) Limited\General\Team members Docs\Sathruhan\Reports- WH utilization\Client_Level_Inventory_Summary_Report-NUGE</v>
      </c>
    </row>
    <row r="21" spans="11:19" x14ac:dyDescent="0.25">
      <c r="N21" s="18">
        <v>5</v>
      </c>
      <c r="O21" s="18" t="s">
        <v>22</v>
      </c>
      <c r="P21" s="18" t="str">
        <f t="shared" si="0"/>
        <v>D:\Users\Sathruhans\OneDrive - Expolanka International (Pvt) Limited\General\Team members Docs\Sathruhan\Reports- WH utilization\Client_Wise_Stock_Ageing_Report-EGDC</v>
      </c>
    </row>
    <row r="22" spans="11:19" x14ac:dyDescent="0.25">
      <c r="N22" s="18">
        <v>6</v>
      </c>
      <c r="O22" s="18" t="s">
        <v>23</v>
      </c>
      <c r="P22" s="18" t="str">
        <f t="shared" si="0"/>
        <v>D:\Users\Sathruhans\OneDrive - Expolanka International (Pvt) Limited\General\Team members Docs\Sathruhan\Reports- WH utilization\Client_Wise_Stock_Ageing_Report-ESKD</v>
      </c>
    </row>
    <row r="23" spans="11:19" x14ac:dyDescent="0.25">
      <c r="N23" s="18">
        <v>7</v>
      </c>
      <c r="O23" s="18" t="s">
        <v>24</v>
      </c>
      <c r="P23" s="18" t="str">
        <f t="shared" si="0"/>
        <v>D:\Users\Sathruhans\OneDrive - Expolanka International (Pvt) Limited\General\Team members Docs\Sathruhan\Reports- WH utilization\Client_Wise_Stock_Ageing_Report-LPPL</v>
      </c>
    </row>
    <row r="24" spans="11:19" x14ac:dyDescent="0.25">
      <c r="N24" s="18">
        <v>8</v>
      </c>
      <c r="O24" s="18" t="s">
        <v>25</v>
      </c>
      <c r="P24" s="18" t="str">
        <f t="shared" si="0"/>
        <v>D:\Users\Sathruhans\OneDrive - Expolanka International (Pvt) Limited\General\Team members Docs\Sathruhan\Reports- WH utilization\Client_Wise_Stock_Ageing_Report-NUGE</v>
      </c>
    </row>
    <row r="25" spans="11:19" x14ac:dyDescent="0.25">
      <c r="N25" s="18">
        <v>9</v>
      </c>
      <c r="O25" s="18" t="s">
        <v>26</v>
      </c>
      <c r="P25" s="18" t="str">
        <f t="shared" si="0"/>
        <v>D:\Users\Sathruhans\OneDrive - Expolanka International (Pvt) Limited\General\Team members Docs\Sathruhan\Reports- WH utilization\Inventory_Report-ARS</v>
      </c>
    </row>
    <row r="26" spans="11:19" x14ac:dyDescent="0.25">
      <c r="N26" s="18">
        <v>10</v>
      </c>
      <c r="O26" s="18" t="s">
        <v>27</v>
      </c>
      <c r="P26" s="18" t="str">
        <f t="shared" si="0"/>
        <v>D:\Users\Sathruhans\OneDrive - Expolanka International (Pvt) Limited\General\Team members Docs\Sathruhan\Reports- WH utilization\Inventory_Report-Durdans</v>
      </c>
    </row>
    <row r="27" spans="11:19" x14ac:dyDescent="0.25">
      <c r="N27" s="18">
        <v>11</v>
      </c>
      <c r="O27" s="18" t="s">
        <v>28</v>
      </c>
      <c r="P27" s="18" t="str">
        <f t="shared" si="0"/>
        <v>D:\Users\Sathruhans\OneDrive - Expolanka International (Pvt) Limited\General\Team members Docs\Sathruhan\Reports- WH utilization\Inventory_Report-HMS</v>
      </c>
    </row>
    <row r="28" spans="11:19" x14ac:dyDescent="0.25">
      <c r="N28" s="18">
        <v>12</v>
      </c>
      <c r="O28" s="18" t="s">
        <v>30</v>
      </c>
      <c r="P28" s="18" t="str">
        <f t="shared" si="0"/>
        <v>D:\Users\Sathruhans\OneDrive - Expolanka International (Pvt) Limited\General\Team members Docs\Sathruhan\Reports- WH utilization\Data Base- Final</v>
      </c>
    </row>
    <row r="29" spans="11:19" x14ac:dyDescent="0.25">
      <c r="N29" s="18">
        <v>13</v>
      </c>
      <c r="O29" t="s">
        <v>31</v>
      </c>
      <c r="P29" s="18" t="str">
        <f t="shared" si="0"/>
        <v>D:\Users\Sathruhans\OneDrive - Expolanka International (Pvt) Limited\General\Team members Docs\Sathruhan\Reports- WH utilization\Inventory_Report</v>
      </c>
    </row>
    <row r="30" spans="11:19" x14ac:dyDescent="0.25">
      <c r="N30" s="18">
        <v>14</v>
      </c>
      <c r="O30" s="18" t="s">
        <v>33</v>
      </c>
      <c r="P30" s="18" t="str">
        <f t="shared" si="0"/>
        <v>D:\Users\Sathruhans\OneDrive - Expolanka International (Pvt) Limited\General\Team members Docs\Sathruhan\Reports- WH utilization\Inventory_Report-SOFT</v>
      </c>
    </row>
  </sheetData>
  <mergeCells count="3">
    <mergeCell ref="F6:F14"/>
    <mergeCell ref="C6:C14"/>
    <mergeCell ref="I6:I14"/>
  </mergeCells>
  <dataValidations count="1">
    <dataValidation type="list" allowBlank="1" showInputMessage="1" showErrorMessage="1" sqref="C2" xr:uid="{244DD7BB-85BB-49FD-9AE2-4A483E58334E}">
      <formula1>"Sathruhans, nipunam, wasanthau"</formula1>
    </dataValidation>
  </dataValidations>
  <hyperlinks>
    <hyperlink ref="P15" r:id="rId1" display="http://hjprod.itx360.com/SupplyChainAdvantage/WAAdvantageDashboard/GenReport.aspx?id=2476&amp;wh_id=LPPL&amp;client_code=SOFT&amp;status=H&amp;plant=%25&amp;invtype=%25" xr:uid="{10494965-0F7F-4DFA-B6F6-A9F2E8559106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CopyPasteSpecial">
                <anchor moveWithCells="1" sizeWithCells="1">
                  <from>
                    <xdr:col>2</xdr:col>
                    <xdr:colOff>19050</xdr:colOff>
                    <xdr:row>15</xdr:row>
                    <xdr:rowOff>9525</xdr:rowOff>
                  </from>
                  <to>
                    <xdr:col>4</xdr:col>
                    <xdr:colOff>552450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utton1_Click">
                <anchor moveWithCells="1" sizeWithCells="1">
                  <from>
                    <xdr:col>2</xdr:col>
                    <xdr:colOff>647700</xdr:colOff>
                    <xdr:row>12</xdr:row>
                    <xdr:rowOff>19050</xdr:rowOff>
                  </from>
                  <to>
                    <xdr:col>4</xdr:col>
                    <xdr:colOff>590550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647700</xdr:colOff>
                    <xdr:row>10</xdr:row>
                    <xdr:rowOff>9525</xdr:rowOff>
                  </from>
                  <to>
                    <xdr:col>5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647700</xdr:colOff>
                    <xdr:row>8</xdr:row>
                    <xdr:rowOff>19050</xdr:rowOff>
                  </from>
                  <to>
                    <xdr:col>4</xdr:col>
                    <xdr:colOff>600075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5_Click">
                <anchor moveWithCells="1" sizeWithCells="1">
                  <from>
                    <xdr:col>3</xdr:col>
                    <xdr:colOff>0</xdr:colOff>
                    <xdr:row>5</xdr:row>
                    <xdr:rowOff>171450</xdr:rowOff>
                  </from>
                  <to>
                    <xdr:col>4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6_Click">
                <anchor moveWithCells="1" sizeWithCells="1">
                  <from>
                    <xdr:col>5</xdr:col>
                    <xdr:colOff>590550</xdr:colOff>
                    <xdr:row>6</xdr:row>
                    <xdr:rowOff>9525</xdr:rowOff>
                  </from>
                  <to>
                    <xdr:col>8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Button7_Click">
                <anchor moveWithCells="1" sizeWithCells="1">
                  <from>
                    <xdr:col>5</xdr:col>
                    <xdr:colOff>600075</xdr:colOff>
                    <xdr:row>8</xdr:row>
                    <xdr:rowOff>0</xdr:rowOff>
                  </from>
                  <to>
                    <xdr:col>8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Button8_Click">
                <anchor moveWithCells="1" sizeWithCells="1">
                  <from>
                    <xdr:col>6</xdr:col>
                    <xdr:colOff>0</xdr:colOff>
                    <xdr:row>10</xdr:row>
                    <xdr:rowOff>9525</xdr:rowOff>
                  </from>
                  <to>
                    <xdr:col>8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[0]!Button9_Click">
                <anchor moveWithCells="1" sizeWithCells="1">
                  <from>
                    <xdr:col>9</xdr:col>
                    <xdr:colOff>9525</xdr:colOff>
                    <xdr:row>6</xdr:row>
                    <xdr:rowOff>0</xdr:rowOff>
                  </from>
                  <to>
                    <xdr:col>10</xdr:col>
                    <xdr:colOff>590550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Button10_Click">
                <anchor moveWithCells="1" sizeWithCells="1">
                  <from>
                    <xdr:col>9</xdr:col>
                    <xdr:colOff>0</xdr:colOff>
                    <xdr:row>7</xdr:row>
                    <xdr:rowOff>171450</xdr:rowOff>
                  </from>
                  <to>
                    <xdr:col>10</xdr:col>
                    <xdr:colOff>600075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[0]!Button11_Click">
                <anchor moveWithCells="1" siz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10</xdr:col>
                    <xdr:colOff>590550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6" name="Button 12">
              <controlPr defaultSize="0" print="0" autoFill="0" autoPict="0" macro="[0]!Button12_Click">
                <anchor moveWithCells="1" sizeWithCells="1">
                  <from>
                    <xdr:col>9</xdr:col>
                    <xdr:colOff>0</xdr:colOff>
                    <xdr:row>12</xdr:row>
                    <xdr:rowOff>9525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Button13_Click">
                <anchor moveWithCells="1" sizeWithCells="1">
                  <from>
                    <xdr:col>6</xdr:col>
                    <xdr:colOff>0</xdr:colOff>
                    <xdr:row>12</xdr:row>
                    <xdr:rowOff>0</xdr:rowOff>
                  </from>
                  <to>
                    <xdr:col>7</xdr:col>
                    <xdr:colOff>600075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9B4EB50298484FA552BCF2FE389575" ma:contentTypeVersion="15" ma:contentTypeDescription="Create a new document." ma:contentTypeScope="" ma:versionID="7051a21969abf301659b662061139a09">
  <xsd:schema xmlns:xsd="http://www.w3.org/2001/XMLSchema" xmlns:xs="http://www.w3.org/2001/XMLSchema" xmlns:p="http://schemas.microsoft.com/office/2006/metadata/properties" xmlns:ns2="85cc32eb-4dfe-43ec-b460-60fdb8edb87e" xmlns:ns3="e74c9283-3b3f-47cd-bdd2-6b504fb534be" targetNamespace="http://schemas.microsoft.com/office/2006/metadata/properties" ma:root="true" ma:fieldsID="c58be59ad476aa6edd59ae2bf6a019cd" ns2:_="" ns3:_="">
    <xsd:import namespace="85cc32eb-4dfe-43ec-b460-60fdb8edb87e"/>
    <xsd:import namespace="e74c9283-3b3f-47cd-bdd2-6b504fb534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cc32eb-4dfe-43ec-b460-60fdb8edb8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445841e-0990-4d77-b68d-78c600e24da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4c9283-3b3f-47cd-bdd2-6b504fb534be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cf5cbb66-b939-4f11-a5c0-a771f9b2c95d}" ma:internalName="TaxCatchAll" ma:showField="CatchAllData" ma:web="e74c9283-3b3f-47cd-bdd2-6b504fb534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71E9E5-B92D-4C7A-8000-1C070F43CD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94D9045-F2DC-4344-B10F-A198B5AC0F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cc32eb-4dfe-43ec-b460-60fdb8edb87e"/>
    <ds:schemaRef ds:uri="e74c9283-3b3f-47cd-bdd2-6b504fb534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2023-07-05T05:08:20Z</dcterms:modified>
</cp:coreProperties>
</file>